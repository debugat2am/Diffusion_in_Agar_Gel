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ample Calculation" sheetId="2" state="visible" r:id="rId2"/>
    <sheet xmlns:r="http://schemas.openxmlformats.org/officeDocument/2006/relationships" name="Final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Agar (%)</t>
        </is>
      </c>
      <c r="B1" s="1" t="inlineStr">
        <is>
          <t>Temperature (°C)</t>
        </is>
      </c>
      <c r="C1" s="1" t="inlineStr">
        <is>
          <t>Time (min)</t>
        </is>
      </c>
      <c r="D1" s="1" t="inlineStr">
        <is>
          <t>Total Radius (mm)</t>
        </is>
      </c>
      <c r="E1" s="1" t="inlineStr">
        <is>
          <t>Radius² (mm²)</t>
        </is>
      </c>
    </row>
    <row r="2">
      <c r="A2" t="n">
        <v>0.5</v>
      </c>
      <c r="B2" t="n">
        <v>30</v>
      </c>
      <c r="C2" t="n">
        <v>0</v>
      </c>
      <c r="D2" t="n">
        <v>6</v>
      </c>
      <c r="E2">
        <f>D2^2</f>
        <v/>
      </c>
    </row>
    <row r="3">
      <c r="A3" t="n">
        <v>0.5</v>
      </c>
      <c r="B3" t="n">
        <v>30</v>
      </c>
      <c r="C3" t="n">
        <v>20</v>
      </c>
      <c r="D3" t="n">
        <v>7.5</v>
      </c>
      <c r="E3">
        <f>D3^2</f>
        <v/>
      </c>
    </row>
    <row r="4">
      <c r="A4" t="n">
        <v>0.5</v>
      </c>
      <c r="B4" t="n">
        <v>30</v>
      </c>
      <c r="C4" t="n">
        <v>40</v>
      </c>
      <c r="D4" t="n">
        <v>8.5</v>
      </c>
      <c r="E4">
        <f>D4^2</f>
        <v/>
      </c>
    </row>
    <row r="5">
      <c r="A5" t="n">
        <v>0.5</v>
      </c>
      <c r="B5" t="n">
        <v>30</v>
      </c>
      <c r="C5" t="n">
        <v>60</v>
      </c>
      <c r="D5" t="n">
        <v>9.199999999999999</v>
      </c>
      <c r="E5">
        <f>D5^2</f>
        <v/>
      </c>
    </row>
    <row r="6">
      <c r="A6" t="n">
        <v>0.5</v>
      </c>
      <c r="B6" t="n">
        <v>30</v>
      </c>
      <c r="C6" t="n">
        <v>80</v>
      </c>
      <c r="D6" t="n">
        <v>9.800000000000001</v>
      </c>
      <c r="E6">
        <f>D6^2</f>
        <v/>
      </c>
    </row>
    <row r="7">
      <c r="A7" t="n">
        <v>1</v>
      </c>
      <c r="B7" t="n">
        <v>30</v>
      </c>
      <c r="C7" t="n">
        <v>0</v>
      </c>
      <c r="D7" t="n">
        <v>6</v>
      </c>
      <c r="E7">
        <f>D7^2</f>
        <v/>
      </c>
    </row>
    <row r="8">
      <c r="A8" t="n">
        <v>1</v>
      </c>
      <c r="B8" t="n">
        <v>30</v>
      </c>
      <c r="C8" t="n">
        <v>20</v>
      </c>
      <c r="D8" t="n">
        <v>6.8</v>
      </c>
      <c r="E8">
        <f>D8^2</f>
        <v/>
      </c>
    </row>
    <row r="9">
      <c r="A9" t="n">
        <v>1</v>
      </c>
      <c r="B9" t="n">
        <v>30</v>
      </c>
      <c r="C9" t="n">
        <v>40</v>
      </c>
      <c r="D9" t="n">
        <v>7.4</v>
      </c>
      <c r="E9">
        <f>D9^2</f>
        <v/>
      </c>
    </row>
    <row r="10">
      <c r="A10" t="n">
        <v>1</v>
      </c>
      <c r="B10" t="n">
        <v>30</v>
      </c>
      <c r="C10" t="n">
        <v>60</v>
      </c>
      <c r="D10" t="n">
        <v>8</v>
      </c>
      <c r="E10">
        <f>D10^2</f>
        <v/>
      </c>
    </row>
    <row r="11">
      <c r="A11" t="n">
        <v>1</v>
      </c>
      <c r="B11" t="n">
        <v>30</v>
      </c>
      <c r="C11" t="n">
        <v>80</v>
      </c>
      <c r="D11" t="n">
        <v>8.4</v>
      </c>
      <c r="E11">
        <f>D11^2</f>
        <v/>
      </c>
    </row>
    <row r="12">
      <c r="A12" t="n">
        <v>0.5</v>
      </c>
      <c r="B12" t="n">
        <v>55</v>
      </c>
      <c r="C12" t="n">
        <v>0</v>
      </c>
      <c r="D12" t="n">
        <v>6</v>
      </c>
      <c r="E12">
        <f>D12^2</f>
        <v/>
      </c>
    </row>
    <row r="13">
      <c r="A13" t="n">
        <v>0.5</v>
      </c>
      <c r="B13" t="n">
        <v>55</v>
      </c>
      <c r="C13" t="n">
        <v>20</v>
      </c>
      <c r="D13" t="n">
        <v>8.5</v>
      </c>
      <c r="E13">
        <f>D13^2</f>
        <v/>
      </c>
    </row>
    <row r="14">
      <c r="A14" t="n">
        <v>0.5</v>
      </c>
      <c r="B14" t="n">
        <v>55</v>
      </c>
      <c r="C14" t="n">
        <v>40</v>
      </c>
      <c r="D14" t="n">
        <v>9.800000000000001</v>
      </c>
      <c r="E14">
        <f>D14^2</f>
        <v/>
      </c>
    </row>
    <row r="15">
      <c r="A15" t="n">
        <v>0.5</v>
      </c>
      <c r="B15" t="n">
        <v>55</v>
      </c>
      <c r="C15" t="n">
        <v>60</v>
      </c>
      <c r="D15" t="n">
        <v>11</v>
      </c>
      <c r="E15">
        <f>D15^2</f>
        <v/>
      </c>
    </row>
    <row r="16">
      <c r="A16" t="n">
        <v>0.5</v>
      </c>
      <c r="B16" t="n">
        <v>55</v>
      </c>
      <c r="C16" t="n">
        <v>80</v>
      </c>
      <c r="D16" t="n">
        <v>12</v>
      </c>
      <c r="E16">
        <f>D16^2</f>
        <v/>
      </c>
    </row>
    <row r="17">
      <c r="A17" t="n">
        <v>1</v>
      </c>
      <c r="B17" t="n">
        <v>55</v>
      </c>
      <c r="C17" t="n">
        <v>0</v>
      </c>
      <c r="D17" t="n">
        <v>6</v>
      </c>
      <c r="E17">
        <f>D17^2</f>
        <v/>
      </c>
    </row>
    <row r="18">
      <c r="A18" t="n">
        <v>1</v>
      </c>
      <c r="B18" t="n">
        <v>55</v>
      </c>
      <c r="C18" t="n">
        <v>20</v>
      </c>
      <c r="D18" t="n">
        <v>7.5</v>
      </c>
      <c r="E18">
        <f>D18^2</f>
        <v/>
      </c>
    </row>
    <row r="19">
      <c r="A19" t="n">
        <v>1</v>
      </c>
      <c r="B19" t="n">
        <v>55</v>
      </c>
      <c r="C19" t="n">
        <v>40</v>
      </c>
      <c r="D19" t="n">
        <v>8.5</v>
      </c>
      <c r="E19">
        <f>D19^2</f>
        <v/>
      </c>
    </row>
    <row r="20">
      <c r="A20" t="n">
        <v>1</v>
      </c>
      <c r="B20" t="n">
        <v>55</v>
      </c>
      <c r="C20" t="n">
        <v>60</v>
      </c>
      <c r="D20" t="n">
        <v>9.5</v>
      </c>
      <c r="E20">
        <f>D20^2</f>
        <v/>
      </c>
    </row>
    <row r="21">
      <c r="A21" t="n">
        <v>1</v>
      </c>
      <c r="B21" t="n">
        <v>55</v>
      </c>
      <c r="C21" t="n">
        <v>80</v>
      </c>
      <c r="D21" t="n">
        <v>10.2</v>
      </c>
      <c r="E21">
        <f>D21^2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Formula</t>
        </is>
      </c>
      <c r="B1" t="inlineStr">
        <is>
          <t>r² = 4Dt</t>
        </is>
      </c>
    </row>
    <row r="2">
      <c r="A2" s="2" t="n"/>
    </row>
    <row r="3">
      <c r="A3" s="2" t="inlineStr">
        <is>
          <t>Initial Radius (mm)</t>
        </is>
      </c>
      <c r="B3" t="n">
        <v>6</v>
      </c>
    </row>
    <row r="4">
      <c r="A4" s="2" t="inlineStr">
        <is>
          <t>Final Radius (mm)</t>
        </is>
      </c>
      <c r="B4" t="n">
        <v>12</v>
      </c>
    </row>
    <row r="5">
      <c r="A5" s="2" t="inlineStr">
        <is>
          <t>Initial Time (min)</t>
        </is>
      </c>
      <c r="B5" t="n">
        <v>0</v>
      </c>
    </row>
    <row r="6">
      <c r="A6" s="2" t="inlineStr">
        <is>
          <t>Final Time (min)</t>
        </is>
      </c>
      <c r="B6" t="n">
        <v>80</v>
      </c>
    </row>
    <row r="7">
      <c r="A7" s="2" t="inlineStr">
        <is>
          <t>Slope (mm²/min)</t>
        </is>
      </c>
      <c r="B7" t="inlineStr">
        <is>
          <t>1.35</t>
        </is>
      </c>
    </row>
    <row r="8">
      <c r="A8" s="2" t="inlineStr">
        <is>
          <t>Diffusion Coefficient D</t>
        </is>
      </c>
      <c r="B8" t="inlineStr">
        <is>
          <t>0.3375 mm²/min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Slope (mm²/min)</t>
        </is>
      </c>
      <c r="C1" s="1" t="inlineStr">
        <is>
          <t>D (mm²/min)</t>
        </is>
      </c>
    </row>
    <row r="2">
      <c r="A2" t="inlineStr">
        <is>
          <t>0.5% Agar (55°C)</t>
        </is>
      </c>
      <c r="B2" t="n">
        <v>1.35</v>
      </c>
      <c r="C2" t="n">
        <v>0.3375</v>
      </c>
    </row>
    <row r="3">
      <c r="A3" t="inlineStr">
        <is>
          <t>1% Agar (55°C)</t>
        </is>
      </c>
      <c r="B3" t="n">
        <v>0.8505</v>
      </c>
      <c r="C3" t="n">
        <v>0.2126</v>
      </c>
    </row>
    <row r="4">
      <c r="A4" t="inlineStr">
        <is>
          <t>0.5% Agar (30°C)</t>
        </is>
      </c>
      <c r="B4" t="n">
        <v>0.7504999999999999</v>
      </c>
      <c r="C4" t="n">
        <v>0.1876</v>
      </c>
    </row>
    <row r="5">
      <c r="A5" t="inlineStr">
        <is>
          <t>1% Agar (30°C)</t>
        </is>
      </c>
      <c r="B5" t="n">
        <v>0.432</v>
      </c>
      <c r="C5" t="n">
        <v>0.108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2026-06-30T21:15:03Z</dcterms:created>
  <dcterms:modified xmlns:dcterms="http://purl.org/dc/terms/" xmlns:xsi="http://www.w3.org/2001/XMLSchema-instance" xsi:type="dcterms:W3CDTF">2026-06-30T21:15:03Z</dcterms:modified>
</cp:coreProperties>
</file>